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Not yet in any c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s &quot;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5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34" customWidth="1" min="3" max="3"/>
    <col width="10" customWidth="1" min="4" max="4"/>
    <col width="30" customWidth="1" min="5" max="5"/>
    <col width="20" customWidth="1" min="6" max="6"/>
    <col width="11" customWidth="1" min="7" max="7"/>
    <col width="14" customWidth="1" min="8" max="8"/>
    <col width="18" customWidth="1" min="9" max="9"/>
    <col width="22" customWidth="1" min="10" max="10"/>
    <col width="48" customWidth="1" min="11" max="11"/>
  </cols>
  <sheetData>
    <row r="1" ht="32" customHeight="1">
      <c r="A1" s="1" t="inlineStr">
        <is>
          <t>Sr</t>
        </is>
      </c>
      <c r="B1" s="1" t="inlineStr">
        <is>
          <t>Component</t>
        </is>
      </c>
      <c r="C1" s="1" t="inlineStr">
        <is>
          <t>Designators</t>
        </is>
      </c>
      <c r="D1" s="1" t="inlineStr">
        <is>
          <t>Pieces per board</t>
        </is>
      </c>
      <c r="E1" s="1" t="inlineStr">
        <is>
          <t>Part number (as bought)</t>
        </is>
      </c>
      <c r="F1" s="1" t="inlineStr">
        <is>
          <t>Website</t>
        </is>
      </c>
      <c r="G1" s="1" t="inlineStr">
        <is>
          <t>Quantity (in cart)</t>
        </is>
      </c>
      <c r="H1" s="1" t="inlineStr">
        <is>
          <t>Price per piece (Rs)</t>
        </is>
      </c>
      <c r="I1" s="1" t="inlineStr">
        <is>
          <t>Overall price (Rs) = qty x price</t>
        </is>
      </c>
      <c r="J1" s="1" t="inlineStr">
        <is>
          <t>Price basis</t>
        </is>
      </c>
      <c r="K1" s="1" t="inlineStr">
        <is>
          <t>Note</t>
        </is>
      </c>
    </row>
    <row r="2">
      <c r="A2" s="2" t="n">
        <v>1</v>
      </c>
      <c r="B2" s="2" t="inlineStr">
        <is>
          <t>Resistor 10k 0805 1%</t>
        </is>
      </c>
      <c r="C2" s="2" t="inlineStr">
        <is>
          <t>R1,R2,R3,R6,R11,R14,R18,R19,R20,R21,R22,R32,R35</t>
        </is>
      </c>
      <c r="D2" s="2" t="n">
        <v>13</v>
      </c>
      <c r="E2" s="2" t="inlineStr">
        <is>
          <t>RC0805FR-0710KL</t>
        </is>
      </c>
      <c r="F2" s="3" t="inlineStr">
        <is>
          <t>Sharvi Electronics</t>
        </is>
      </c>
      <c r="G2" s="2" t="n">
        <v>72</v>
      </c>
      <c r="H2" s="4" t="n">
        <v>0.6969</v>
      </c>
      <c r="I2" s="4">
        <f>G2*H2</f>
        <v/>
      </c>
      <c r="J2" s="2" t="inlineStr">
        <is>
          <t>ex-GST (18% GST extra)</t>
        </is>
      </c>
      <c r="K2" s="2" t="inlineStr"/>
    </row>
    <row r="3">
      <c r="A3" s="2" t="n">
        <v>2</v>
      </c>
      <c r="B3" s="2" t="inlineStr">
        <is>
          <t>Resistor 1k 0805 1%</t>
        </is>
      </c>
      <c r="C3" s="2" t="inlineStr">
        <is>
          <t>R8,R13,R15,R16,R17,R31,R33,R34,R36</t>
        </is>
      </c>
      <c r="D3" s="2" t="n">
        <v>9</v>
      </c>
      <c r="E3" s="2" t="inlineStr">
        <is>
          <t>0805S8F1001T5E</t>
        </is>
      </c>
      <c r="F3" s="3" t="inlineStr">
        <is>
          <t>Sharvi Electronics</t>
        </is>
      </c>
      <c r="G3" s="2" t="n">
        <v>50</v>
      </c>
      <c r="H3" s="4" t="n">
        <v>0.697</v>
      </c>
      <c r="I3" s="4">
        <f>G3*H3</f>
        <v/>
      </c>
      <c r="J3" s="2" t="inlineStr">
        <is>
          <t>ex-GST (18% GST extra)</t>
        </is>
      </c>
      <c r="K3" s="2" t="inlineStr"/>
    </row>
    <row r="4">
      <c r="A4" s="2" t="n">
        <v>3</v>
      </c>
      <c r="B4" s="2" t="inlineStr">
        <is>
          <t>Resistor 120R 0805 1%</t>
        </is>
      </c>
      <c r="C4" s="2" t="inlineStr">
        <is>
          <t>R7</t>
        </is>
      </c>
      <c r="D4" s="2" t="n">
        <v>1</v>
      </c>
      <c r="E4" s="2" t="inlineStr">
        <is>
          <t>RC0805FR-07120RL</t>
        </is>
      </c>
      <c r="F4" s="3" t="inlineStr">
        <is>
          <t>Sharvi Electronics</t>
        </is>
      </c>
      <c r="G4" s="2" t="n">
        <v>20</v>
      </c>
      <c r="H4" s="4" t="n">
        <v>0.731</v>
      </c>
      <c r="I4" s="4">
        <f>G4*H4</f>
        <v/>
      </c>
      <c r="J4" s="2" t="inlineStr">
        <is>
          <t>ex-GST (18% GST extra)</t>
        </is>
      </c>
      <c r="K4" s="2" t="inlineStr">
        <is>
          <t>RS485 on-board terminator between A and B; min order 20</t>
        </is>
      </c>
    </row>
    <row r="5">
      <c r="A5" s="2" t="n">
        <v>4</v>
      </c>
      <c r="B5" s="2" t="inlineStr">
        <is>
          <t>Resistor 47R 0805 1%</t>
        </is>
      </c>
      <c r="C5" s="2" t="inlineStr">
        <is>
          <t>R39,R40,R41,R42</t>
        </is>
      </c>
      <c r="D5" s="2" t="n">
        <v>4</v>
      </c>
      <c r="E5" s="2" t="inlineStr">
        <is>
          <t>0805W8F470JT5E</t>
        </is>
      </c>
      <c r="F5" s="3" t="inlineStr">
        <is>
          <t>Sharvi Electronics</t>
        </is>
      </c>
      <c r="G5" s="2" t="n">
        <v>22</v>
      </c>
      <c r="H5" s="4" t="n">
        <v>0.6968</v>
      </c>
      <c r="I5" s="4">
        <f>G5*H5</f>
        <v/>
      </c>
      <c r="J5" s="2" t="inlineStr">
        <is>
          <t>ex-GST (18% GST extra)</t>
        </is>
      </c>
      <c r="K5" s="2" t="inlineStr">
        <is>
          <t>SPI series resistors</t>
        </is>
      </c>
    </row>
    <row r="6">
      <c r="A6" s="2" t="n">
        <v>5</v>
      </c>
      <c r="B6" s="2" t="inlineStr">
        <is>
          <t>Resistor 330R 0805 1%</t>
        </is>
      </c>
      <c r="C6" s="2" t="inlineStr">
        <is>
          <t>R4,R5,R9,R10,R29,R30</t>
        </is>
      </c>
      <c r="D6" s="2" t="n">
        <v>6</v>
      </c>
      <c r="E6" s="2" t="inlineStr">
        <is>
          <t>RC0805FR-07330RL</t>
        </is>
      </c>
      <c r="F6" s="3" t="inlineStr">
        <is>
          <t>Sharvi Electronics</t>
        </is>
      </c>
      <c r="G6" s="2" t="n">
        <v>33</v>
      </c>
      <c r="H6" s="4" t="n">
        <v>0.7309</v>
      </c>
      <c r="I6" s="4">
        <f>G6*H6</f>
        <v/>
      </c>
      <c r="J6" s="2" t="inlineStr">
        <is>
          <t>ex-GST (18% GST extra)</t>
        </is>
      </c>
      <c r="K6" s="2" t="inlineStr">
        <is>
          <t>R5,R9 = RS485 bias resistors</t>
        </is>
      </c>
    </row>
    <row r="7">
      <c r="A7" s="2" t="n">
        <v>6</v>
      </c>
      <c r="B7" s="2" t="inlineStr">
        <is>
          <t>Resistor 150R 0805 1%</t>
        </is>
      </c>
      <c r="C7" s="2" t="inlineStr">
        <is>
          <t>R12</t>
        </is>
      </c>
      <c r="D7" s="2" t="n">
        <v>1</v>
      </c>
      <c r="E7" s="2" t="inlineStr">
        <is>
          <t>RC0805FR-07150RL</t>
        </is>
      </c>
      <c r="F7" s="3" t="inlineStr">
        <is>
          <t>Sharvi Electronics</t>
        </is>
      </c>
      <c r="G7" s="2" t="n">
        <v>20</v>
      </c>
      <c r="H7" s="4" t="n">
        <v>0.697</v>
      </c>
      <c r="I7" s="4">
        <f>G7*H7</f>
        <v/>
      </c>
      <c r="J7" s="2" t="inlineStr">
        <is>
          <t>ex-GST (18% GST extra)</t>
        </is>
      </c>
      <c r="K7" s="2" t="inlineStr">
        <is>
          <t>min order 20</t>
        </is>
      </c>
    </row>
    <row r="8">
      <c r="A8" s="2" t="n">
        <v>7</v>
      </c>
      <c r="B8" s="2" t="inlineStr">
        <is>
          <t>Resistor 49.9R 0805 1%</t>
        </is>
      </c>
      <c r="C8" s="2" t="inlineStr">
        <is>
          <t>R24,R25,R26,R27</t>
        </is>
      </c>
      <c r="D8" s="2" t="n">
        <v>4</v>
      </c>
      <c r="E8" s="2" t="inlineStr">
        <is>
          <t>RC0805FR-0749R9L</t>
        </is>
      </c>
      <c r="F8" s="3" t="inlineStr">
        <is>
          <t>Sharvi Electronics</t>
        </is>
      </c>
      <c r="G8" s="2" t="n">
        <v>22</v>
      </c>
      <c r="H8" s="4" t="n">
        <v>2.4227</v>
      </c>
      <c r="I8" s="4">
        <f>G8*H8</f>
        <v/>
      </c>
      <c r="J8" s="2" t="inlineStr">
        <is>
          <t>ex-GST (18% GST extra)</t>
        </is>
      </c>
      <c r="K8" s="2" t="inlineStr"/>
    </row>
    <row r="9">
      <c r="A9" s="2" t="n">
        <v>8</v>
      </c>
      <c r="B9" s="2" t="inlineStr">
        <is>
          <t>Resistor 10R 0805 1%</t>
        </is>
      </c>
      <c r="C9" s="2" t="inlineStr">
        <is>
          <t>R28</t>
        </is>
      </c>
      <c r="D9" s="2" t="n">
        <v>1</v>
      </c>
      <c r="E9" s="2" t="inlineStr">
        <is>
          <t>0805S8F100JT5E</t>
        </is>
      </c>
      <c r="F9" s="3" t="inlineStr">
        <is>
          <t>Sharvi Electronics</t>
        </is>
      </c>
      <c r="G9" s="2" t="n">
        <v>20</v>
      </c>
      <c r="H9" s="4" t="n">
        <v>0.697</v>
      </c>
      <c r="I9" s="4">
        <f>G9*H9</f>
        <v/>
      </c>
      <c r="J9" s="2" t="inlineStr">
        <is>
          <t>ex-GST (18% GST extra)</t>
        </is>
      </c>
      <c r="K9" s="2" t="inlineStr">
        <is>
          <t>min order 20</t>
        </is>
      </c>
    </row>
    <row r="10">
      <c r="A10" s="2" t="n">
        <v>9</v>
      </c>
      <c r="B10" s="2" t="inlineStr">
        <is>
          <t>Resistor 4.7k 0805 1%</t>
        </is>
      </c>
      <c r="C10" s="2" t="inlineStr">
        <is>
          <t>R37,R38</t>
        </is>
      </c>
      <c r="D10" s="2" t="n">
        <v>2</v>
      </c>
      <c r="E10" s="2" t="inlineStr">
        <is>
          <t>CR-05FTP-4K7</t>
        </is>
      </c>
      <c r="F10" s="3" t="inlineStr">
        <is>
          <t>Sharvi Electronics</t>
        </is>
      </c>
      <c r="G10" s="2" t="n">
        <v>20</v>
      </c>
      <c r="H10" s="4" t="n">
        <v>0.697</v>
      </c>
      <c r="I10" s="4">
        <f>G10*H10</f>
        <v/>
      </c>
      <c r="J10" s="2" t="inlineStr">
        <is>
          <t>ex-GST (18% GST extra)</t>
        </is>
      </c>
      <c r="K10" s="2" t="inlineStr">
        <is>
          <t>min order 20</t>
        </is>
      </c>
    </row>
    <row r="11">
      <c r="A11" s="2" t="n">
        <v>10</v>
      </c>
      <c r="B11" s="2" t="inlineStr">
        <is>
          <t>Capacitor 100nF 16V 0805</t>
        </is>
      </c>
      <c r="C11" s="2" t="inlineStr">
        <is>
          <t>C10,C12,C14,C15,C17,C18,C19,C20,C21,C22,C24,C35,C36</t>
        </is>
      </c>
      <c r="D11" s="2" t="n">
        <v>13</v>
      </c>
      <c r="E11" s="2" t="inlineStr">
        <is>
          <t>CC0805KRX7R7B (0.1uF 16V)</t>
        </is>
      </c>
      <c r="F11" s="3" t="inlineStr">
        <is>
          <t>Sharvi Electronics</t>
        </is>
      </c>
      <c r="G11" s="2" t="n">
        <v>72</v>
      </c>
      <c r="H11" s="4" t="n">
        <v>1.3774</v>
      </c>
      <c r="I11" s="4">
        <f>G11*H11</f>
        <v/>
      </c>
      <c r="J11" s="2" t="inlineStr">
        <is>
          <t>ex-GST (18% GST extra)</t>
        </is>
      </c>
      <c r="K11" s="2" t="inlineStr"/>
    </row>
    <row r="12">
      <c r="A12" s="2" t="n">
        <v>11</v>
      </c>
      <c r="B12" s="2" t="inlineStr">
        <is>
          <t>Capacitor 100nF 100V 0805</t>
        </is>
      </c>
      <c r="C12" s="2" t="inlineStr">
        <is>
          <t>C2,C4,C5</t>
        </is>
      </c>
      <c r="D12" s="2" t="n">
        <v>3</v>
      </c>
      <c r="E12" s="2" t="inlineStr">
        <is>
          <t>CC0805KKX7R0BB104</t>
        </is>
      </c>
      <c r="F12" s="3" t="inlineStr">
        <is>
          <t>Sharvi Electronics</t>
        </is>
      </c>
      <c r="G12" s="2" t="n">
        <v>17</v>
      </c>
      <c r="H12" s="4" t="n">
        <v>4.6171</v>
      </c>
      <c r="I12" s="4">
        <f>G12*H12</f>
        <v/>
      </c>
      <c r="J12" s="2" t="inlineStr">
        <is>
          <t>ex-GST (18% GST extra)</t>
        </is>
      </c>
      <c r="K12" s="2" t="inlineStr"/>
    </row>
    <row r="13">
      <c r="A13" s="2" t="n">
        <v>12</v>
      </c>
      <c r="B13" s="2" t="inlineStr">
        <is>
          <t>Capacitor 1nF 100V 0805</t>
        </is>
      </c>
      <c r="C13" s="2" t="inlineStr">
        <is>
          <t>C11,C13</t>
        </is>
      </c>
      <c r="D13" s="2" t="n">
        <v>2</v>
      </c>
      <c r="E13" s="2" t="inlineStr">
        <is>
          <t>CC0805KRX7R0BB102</t>
        </is>
      </c>
      <c r="F13" s="3" t="inlineStr">
        <is>
          <t>Sharvi Electronics</t>
        </is>
      </c>
      <c r="G13" s="2" t="n">
        <v>11</v>
      </c>
      <c r="H13" s="4" t="n">
        <v>2.1827</v>
      </c>
      <c r="I13" s="4">
        <f>G13*H13</f>
        <v/>
      </c>
      <c r="J13" s="2" t="inlineStr">
        <is>
          <t>ex-GST (18% GST extra)</t>
        </is>
      </c>
      <c r="K13" s="2" t="inlineStr"/>
    </row>
    <row r="14">
      <c r="A14" s="2" t="n">
        <v>13</v>
      </c>
      <c r="B14" s="2" t="inlineStr">
        <is>
          <t>Capacitor 10uF 25V 0805</t>
        </is>
      </c>
      <c r="C14" s="2" t="inlineStr">
        <is>
          <t>C23,C25</t>
        </is>
      </c>
      <c r="D14" s="2" t="n">
        <v>2</v>
      </c>
      <c r="E14" s="2" t="inlineStr">
        <is>
          <t>CC0805KKX7R8BB106</t>
        </is>
      </c>
      <c r="F14" s="3" t="inlineStr">
        <is>
          <t>Sharvi Electronics</t>
        </is>
      </c>
      <c r="G14" s="2" t="n">
        <v>11</v>
      </c>
      <c r="H14" s="4" t="n">
        <v>2.6382</v>
      </c>
      <c r="I14" s="4">
        <f>G14*H14</f>
        <v/>
      </c>
      <c r="J14" s="2" t="inlineStr">
        <is>
          <t>ex-GST (18% GST extra)</t>
        </is>
      </c>
      <c r="K14" s="2" t="inlineStr"/>
    </row>
    <row r="15">
      <c r="A15" s="2" t="n">
        <v>14</v>
      </c>
      <c r="B15" s="2" t="inlineStr">
        <is>
          <t>Capacitor 10nF 100V 0805</t>
        </is>
      </c>
      <c r="C15" s="2" t="inlineStr">
        <is>
          <t>C27,C29</t>
        </is>
      </c>
      <c r="D15" s="2" t="n">
        <v>2</v>
      </c>
      <c r="E15" s="2" t="inlineStr">
        <is>
          <t>CC0805KRX7R0BB103</t>
        </is>
      </c>
      <c r="F15" s="3" t="inlineStr">
        <is>
          <t>Sharvi Electronics</t>
        </is>
      </c>
      <c r="G15" s="2" t="n">
        <v>20</v>
      </c>
      <c r="H15" s="4" t="n">
        <v>2.7645</v>
      </c>
      <c r="I15" s="4">
        <f>G15*H15</f>
        <v/>
      </c>
      <c r="J15" s="2" t="inlineStr">
        <is>
          <t>ex-GST (18% GST extra)</t>
        </is>
      </c>
      <c r="K15" s="2" t="inlineStr">
        <is>
          <t>min order 20</t>
        </is>
      </c>
    </row>
    <row r="16">
      <c r="A16" s="2" t="n">
        <v>15</v>
      </c>
      <c r="B16" s="2" t="inlineStr">
        <is>
          <t>Capacitor 22nF 100V 0805</t>
        </is>
      </c>
      <c r="C16" s="2" t="inlineStr">
        <is>
          <t>C28</t>
        </is>
      </c>
      <c r="D16" s="2" t="n">
        <v>1</v>
      </c>
      <c r="E16" s="2" t="inlineStr">
        <is>
          <t>CC0805KRX7R0BB223</t>
        </is>
      </c>
      <c r="F16" s="3" t="inlineStr">
        <is>
          <t>Sharvi Electronics</t>
        </is>
      </c>
      <c r="G16" s="2" t="n">
        <v>10</v>
      </c>
      <c r="H16" s="4" t="n">
        <v>2.183</v>
      </c>
      <c r="I16" s="4">
        <f>G16*H16</f>
        <v/>
      </c>
      <c r="J16" s="2" t="inlineStr">
        <is>
          <t>ex-GST (18% GST extra)</t>
        </is>
      </c>
      <c r="K16" s="2" t="inlineStr">
        <is>
          <t>min order 10</t>
        </is>
      </c>
    </row>
    <row r="17">
      <c r="A17" s="2" t="n">
        <v>16</v>
      </c>
      <c r="B17" s="2" t="inlineStr">
        <is>
          <t>Capacitor 27pF 50V 0805</t>
        </is>
      </c>
      <c r="C17" s="2" t="inlineStr">
        <is>
          <t>C32,C33</t>
        </is>
      </c>
      <c r="D17" s="2" t="n">
        <v>2</v>
      </c>
      <c r="E17" s="2" t="inlineStr">
        <is>
          <t>0805N270J500CT</t>
        </is>
      </c>
      <c r="F17" s="3" t="inlineStr">
        <is>
          <t>Sharvi Electronics</t>
        </is>
      </c>
      <c r="G17" s="2" t="n">
        <v>11</v>
      </c>
      <c r="H17" s="4" t="n">
        <v>2.0664</v>
      </c>
      <c r="I17" s="4">
        <f>G17*H17</f>
        <v/>
      </c>
      <c r="J17" s="2" t="inlineStr">
        <is>
          <t>ex-GST (18% GST extra)</t>
        </is>
      </c>
      <c r="K17" s="2" t="inlineStr"/>
    </row>
    <row r="18">
      <c r="A18" s="2" t="n">
        <v>17</v>
      </c>
      <c r="B18" s="2" t="inlineStr">
        <is>
          <t>Capacitor 10uF 16V 1206</t>
        </is>
      </c>
      <c r="C18" s="2" t="inlineStr">
        <is>
          <t>C7</t>
        </is>
      </c>
      <c r="D18" s="2" t="n">
        <v>1</v>
      </c>
      <c r="E18" s="2" t="inlineStr">
        <is>
          <t>1206X106K160CT</t>
        </is>
      </c>
      <c r="F18" s="3" t="inlineStr">
        <is>
          <t>Sharvi Electronics</t>
        </is>
      </c>
      <c r="G18" s="2" t="n">
        <v>10</v>
      </c>
      <c r="H18" s="4" t="n">
        <v>3.832</v>
      </c>
      <c r="I18" s="4">
        <f>G18*H18</f>
        <v/>
      </c>
      <c r="J18" s="2" t="inlineStr">
        <is>
          <t>ex-GST (18% GST extra)</t>
        </is>
      </c>
      <c r="K18" s="2" t="inlineStr">
        <is>
          <t>min order 10</t>
        </is>
      </c>
    </row>
    <row r="19">
      <c r="A19" s="2" t="n">
        <v>18</v>
      </c>
      <c r="B19" s="2" t="inlineStr">
        <is>
          <t>Capacitor 1uF 16V 1206</t>
        </is>
      </c>
      <c r="C19" s="2" t="inlineStr">
        <is>
          <t>C9</t>
        </is>
      </c>
      <c r="D19" s="2" t="n">
        <v>1</v>
      </c>
      <c r="E19" s="2" t="inlineStr">
        <is>
          <t>CC1206KKX7R7BB105</t>
        </is>
      </c>
      <c r="F19" s="3" t="inlineStr">
        <is>
          <t>Sharvi Electronics</t>
        </is>
      </c>
      <c r="G19" s="2" t="n">
        <v>10</v>
      </c>
      <c r="H19" s="4" t="n">
        <v>2.832</v>
      </c>
      <c r="I19" s="4">
        <f>G19*H19</f>
        <v/>
      </c>
      <c r="J19" s="2" t="inlineStr">
        <is>
          <t>ex-GST (18% GST extra)</t>
        </is>
      </c>
      <c r="K19" s="2" t="inlineStr">
        <is>
          <t>min order 10</t>
        </is>
      </c>
    </row>
    <row r="20">
      <c r="A20" s="2" t="n">
        <v>19</v>
      </c>
      <c r="B20" s="2" t="inlineStr">
        <is>
          <t>Capacitor 4.7uF 25V 0805</t>
        </is>
      </c>
      <c r="C20" s="2" t="inlineStr">
        <is>
          <t>C26</t>
        </is>
      </c>
      <c r="D20" s="2" t="n">
        <v>1</v>
      </c>
      <c r="E20" s="2" t="inlineStr">
        <is>
          <t>0805X475K250CT</t>
        </is>
      </c>
      <c r="F20" s="3" t="inlineStr">
        <is>
          <t>Sharvi Electronics</t>
        </is>
      </c>
      <c r="G20" s="2" t="n">
        <v>20</v>
      </c>
      <c r="H20" s="4" t="n">
        <v>2.0565</v>
      </c>
      <c r="I20" s="4">
        <f>G20*H20</f>
        <v/>
      </c>
      <c r="J20" s="2" t="inlineStr">
        <is>
          <t>ex-GST (18% GST extra)</t>
        </is>
      </c>
      <c r="K20" s="2" t="inlineStr">
        <is>
          <t>min order 20</t>
        </is>
      </c>
    </row>
    <row r="21">
      <c r="A21" s="2" t="n">
        <v>20</v>
      </c>
      <c r="B21" s="2" t="inlineStr">
        <is>
          <t>Capacitor 6.8nF 50V 0805</t>
        </is>
      </c>
      <c r="C21" s="2" t="inlineStr">
        <is>
          <t>C30,C31</t>
        </is>
      </c>
      <c r="D21" s="2" t="n">
        <v>2</v>
      </c>
      <c r="E21" s="2" t="inlineStr">
        <is>
          <t>0805B682K500CT</t>
        </is>
      </c>
      <c r="F21" s="3" t="inlineStr">
        <is>
          <t>Sharvi Electronics</t>
        </is>
      </c>
      <c r="G21" s="2" t="n">
        <v>20</v>
      </c>
      <c r="H21" s="4" t="n">
        <v>2.59</v>
      </c>
      <c r="I21" s="4">
        <f>G21*H21</f>
        <v/>
      </c>
      <c r="J21" s="2" t="inlineStr">
        <is>
          <t>ex-GST (18% GST extra)</t>
        </is>
      </c>
      <c r="K21" s="2" t="inlineStr">
        <is>
          <t>min order 20</t>
        </is>
      </c>
    </row>
    <row r="22">
      <c r="A22" s="2" t="n">
        <v>21</v>
      </c>
      <c r="B22" s="2" t="inlineStr">
        <is>
          <t>Varistor MOV 14D471K</t>
        </is>
      </c>
      <c r="C22" s="2" t="inlineStr">
        <is>
          <t>RV1</t>
        </is>
      </c>
      <c r="D22" s="2" t="n">
        <v>1</v>
      </c>
      <c r="E22" s="2" t="inlineStr">
        <is>
          <t>MOV-14D471K</t>
        </is>
      </c>
      <c r="F22" s="3" t="inlineStr">
        <is>
          <t>Sharvi Electronics</t>
        </is>
      </c>
      <c r="G22" s="2" t="n">
        <v>6</v>
      </c>
      <c r="H22" s="4" t="n">
        <v>14.53</v>
      </c>
      <c r="I22" s="4">
        <f>G22*H22</f>
        <v/>
      </c>
      <c r="J22" s="2" t="inlineStr">
        <is>
          <t>ex-GST (18% GST extra)</t>
        </is>
      </c>
      <c r="K22" s="2" t="inlineStr"/>
    </row>
    <row r="23">
      <c r="A23" s="2" t="n">
        <v>22</v>
      </c>
      <c r="B23" s="2" t="inlineStr">
        <is>
          <t>RJ45 magjack</t>
        </is>
      </c>
      <c r="C23" s="2" t="inlineStr">
        <is>
          <t>J9</t>
        </is>
      </c>
      <c r="D23" s="2" t="n">
        <v>1</v>
      </c>
      <c r="E23" s="2" t="inlineStr">
        <is>
          <t>HR911105A</t>
        </is>
      </c>
      <c r="F23" s="3" t="inlineStr">
        <is>
          <t>Sharvi Electronics</t>
        </is>
      </c>
      <c r="G23" s="2" t="n">
        <v>6</v>
      </c>
      <c r="H23" s="4" t="n">
        <v>117.78</v>
      </c>
      <c r="I23" s="4">
        <f>G23*H23</f>
        <v/>
      </c>
      <c r="J23" s="2" t="inlineStr">
        <is>
          <t>ex-GST (18% GST extra)</t>
        </is>
      </c>
      <c r="K23" s="2" t="inlineStr"/>
    </row>
    <row r="24">
      <c r="A24" s="2" t="n">
        <v>23</v>
      </c>
      <c r="B24" s="2" t="inlineStr">
        <is>
          <t>Female header 2x8 2.54mm</t>
        </is>
      </c>
      <c r="C24" s="2" t="inlineStr">
        <is>
          <t>J3</t>
        </is>
      </c>
      <c r="D24" s="2" t="n">
        <v>1</v>
      </c>
      <c r="E24" s="2" t="inlineStr">
        <is>
          <t>2X8 16Pin Female Berg Strip</t>
        </is>
      </c>
      <c r="F24" s="3" t="inlineStr">
        <is>
          <t>Sharvi Electronics</t>
        </is>
      </c>
      <c r="G24" s="2" t="n">
        <v>6</v>
      </c>
      <c r="H24" s="4" t="n">
        <v>11.92</v>
      </c>
      <c r="I24" s="4">
        <f>G24*H24</f>
        <v/>
      </c>
      <c r="J24" s="2" t="inlineStr">
        <is>
          <t>ex-GST (18% GST extra)</t>
        </is>
      </c>
      <c r="K24" s="2" t="inlineStr">
        <is>
          <t>P10 panel connector</t>
        </is>
      </c>
    </row>
    <row r="25">
      <c r="A25" s="2" t="n">
        <v>24</v>
      </c>
      <c r="B25" s="2" t="inlineStr">
        <is>
          <t>Screw terminal 3-pin 5.08mm</t>
        </is>
      </c>
      <c r="C25" s="2" t="inlineStr">
        <is>
          <t>J6,J7,J8,J10,J11</t>
        </is>
      </c>
      <c r="D25" s="2" t="n">
        <v>5</v>
      </c>
      <c r="E25" s="2" t="inlineStr">
        <is>
          <t>ZB228-3Pin</t>
        </is>
      </c>
      <c r="F25" s="3" t="inlineStr">
        <is>
          <t>Sharvi Electronics</t>
        </is>
      </c>
      <c r="G25" s="2" t="n">
        <v>28</v>
      </c>
      <c r="H25" s="4" t="n">
        <v>9.92</v>
      </c>
      <c r="I25" s="4">
        <f>G25*H25</f>
        <v/>
      </c>
      <c r="J25" s="2" t="inlineStr">
        <is>
          <t>ex-GST (18% GST extra)</t>
        </is>
      </c>
      <c r="K25" s="2" t="inlineStr">
        <is>
          <t>Substitute for Wurth 691236510003 (same pitch, body differs)</t>
        </is>
      </c>
    </row>
    <row r="26">
      <c r="A26" s="2" t="n">
        <v>25</v>
      </c>
      <c r="B26" s="2" t="inlineStr">
        <is>
          <t>Male header 1x32 2.54mm (break to 3-pin)</t>
        </is>
      </c>
      <c r="C26" s="2" t="inlineStr">
        <is>
          <t>JP1,JP2</t>
        </is>
      </c>
      <c r="D26" s="2" t="n">
        <v>2</v>
      </c>
      <c r="E26" s="2" t="inlineStr">
        <is>
          <t>32x1 Pin Male Berg Header</t>
        </is>
      </c>
      <c r="F26" s="3" t="inlineStr">
        <is>
          <t>Sharvi Electronics</t>
        </is>
      </c>
      <c r="G26" s="2" t="n">
        <v>2</v>
      </c>
      <c r="H26" s="4" t="n">
        <v>5.55</v>
      </c>
      <c r="I26" s="4">
        <f>G26*H26</f>
        <v/>
      </c>
      <c r="J26" s="2" t="inlineStr">
        <is>
          <t>ex-GST (18% GST extra)</t>
        </is>
      </c>
      <c r="K26" s="2" t="inlineStr">
        <is>
          <t>Strips; break into 3-pin pieces</t>
        </is>
      </c>
    </row>
    <row r="27">
      <c r="A27" s="2" t="n">
        <v>26</v>
      </c>
      <c r="B27" s="2" t="inlineStr">
        <is>
          <t>Right-angle male header 7x1 2.54mm (use 6 pins)</t>
        </is>
      </c>
      <c r="C27" s="2" t="inlineStr">
        <is>
          <t>J2</t>
        </is>
      </c>
      <c r="D27" s="2" t="n">
        <v>1</v>
      </c>
      <c r="E27" s="2" t="inlineStr">
        <is>
          <t>7x1 7Pin Male Right Angle</t>
        </is>
      </c>
      <c r="F27" s="3" t="inlineStr">
        <is>
          <t>Sharvi Electronics</t>
        </is>
      </c>
      <c r="G27" s="2" t="n">
        <v>6</v>
      </c>
      <c r="H27" s="4" t="n">
        <v>5.18</v>
      </c>
      <c r="I27" s="4">
        <f>G27*H27</f>
        <v/>
      </c>
      <c r="J27" s="2" t="inlineStr">
        <is>
          <t>ex-GST (18% GST extra)</t>
        </is>
      </c>
      <c r="K27" s="2" t="inlineStr">
        <is>
          <t>FTDI programming header</t>
        </is>
      </c>
    </row>
    <row r="28">
      <c r="A28" s="2" t="n">
        <v>27</v>
      </c>
      <c r="B28" s="2" t="inlineStr">
        <is>
          <t>MOSFET P-ch SI2301</t>
        </is>
      </c>
      <c r="C28" s="2" t="inlineStr">
        <is>
          <t>Q3</t>
        </is>
      </c>
      <c r="D28" s="2" t="n">
        <v>1</v>
      </c>
      <c r="E28" s="2" t="inlineStr">
        <is>
          <t>SI2301CDS-T1-GE3</t>
        </is>
      </c>
      <c r="F28" s="3" t="inlineStr">
        <is>
          <t>Sharvi Electronics</t>
        </is>
      </c>
      <c r="G28" s="2" t="n">
        <v>6</v>
      </c>
      <c r="H28" s="4" t="n">
        <v>24.69</v>
      </c>
      <c r="I28" s="4">
        <f>G28*H28</f>
        <v/>
      </c>
      <c r="J28" s="2" t="inlineStr">
        <is>
          <t>ex-GST (18% GST extra)</t>
        </is>
      </c>
      <c r="K28" s="2" t="inlineStr"/>
    </row>
    <row r="29">
      <c r="A29" s="2" t="n">
        <v>28</v>
      </c>
      <c r="B29" s="2" t="inlineStr">
        <is>
          <t>Optocoupler EL817 SMD</t>
        </is>
      </c>
      <c r="C29" s="2" t="inlineStr">
        <is>
          <t>U5,U6</t>
        </is>
      </c>
      <c r="D29" s="2" t="n">
        <v>2</v>
      </c>
      <c r="E29" s="2" t="inlineStr">
        <is>
          <t>EL817S1(C)(TU)-F</t>
        </is>
      </c>
      <c r="F29" s="3" t="inlineStr">
        <is>
          <t>Sharvi Electronics</t>
        </is>
      </c>
      <c r="G29" s="2" t="n">
        <v>11</v>
      </c>
      <c r="H29" s="4" t="n">
        <v>7.45</v>
      </c>
      <c r="I29" s="4">
        <f>G29*H29</f>
        <v/>
      </c>
      <c r="J29" s="2" t="inlineStr">
        <is>
          <t>ex-GST (18% GST extra)</t>
        </is>
      </c>
      <c r="K29" s="2" t="inlineStr">
        <is>
          <t>C-grade instead of A-grade (higher CTR, OK)</t>
        </is>
      </c>
    </row>
    <row r="30">
      <c r="A30" s="2" t="n">
        <v>29</v>
      </c>
      <c r="B30" s="2" t="inlineStr">
        <is>
          <t>LDO 3.3V SOT-223</t>
        </is>
      </c>
      <c r="C30" s="2" t="inlineStr">
        <is>
          <t>VR1</t>
        </is>
      </c>
      <c r="D30" s="2" t="n">
        <v>1</v>
      </c>
      <c r="E30" s="2" t="inlineStr">
        <is>
          <t>LM1117GS 3.3V</t>
        </is>
      </c>
      <c r="F30" s="3" t="inlineStr">
        <is>
          <t>Sharvi Electronics</t>
        </is>
      </c>
      <c r="G30" s="2" t="n">
        <v>6</v>
      </c>
      <c r="H30" s="4" t="n">
        <v>13.75</v>
      </c>
      <c r="I30" s="4">
        <f>G30*H30</f>
        <v/>
      </c>
      <c r="J30" s="2" t="inlineStr">
        <is>
          <t>ex-GST (18% GST extra)</t>
        </is>
      </c>
      <c r="K30" s="2" t="inlineStr">
        <is>
          <t>Generic LM1117-3.3 instead of TI LM1117IMPX-3.3</t>
        </is>
      </c>
    </row>
    <row r="31">
      <c r="A31" s="2" t="n">
        <v>30</v>
      </c>
      <c r="B31" s="2" t="inlineStr">
        <is>
          <t>Relay 5V SPDT 10A</t>
        </is>
      </c>
      <c r="C31" s="2" t="inlineStr">
        <is>
          <t>K1,K2,K3</t>
        </is>
      </c>
      <c r="D31" s="2" t="n">
        <v>3</v>
      </c>
      <c r="E31" s="2" t="inlineStr">
        <is>
          <t>SRD-05VDC-SL-C</t>
        </is>
      </c>
      <c r="F31" s="3" t="inlineStr">
        <is>
          <t>Sharvi Electronics</t>
        </is>
      </c>
      <c r="G31" s="2" t="n">
        <v>17</v>
      </c>
      <c r="H31" s="4" t="n">
        <v>46.78</v>
      </c>
      <c r="I31" s="4">
        <f>G31*H31</f>
        <v/>
      </c>
      <c r="J31" s="2" t="inlineStr">
        <is>
          <t>ex-GST (18% GST extra)</t>
        </is>
      </c>
      <c r="K31" s="2" t="inlineStr"/>
    </row>
    <row r="32">
      <c r="A32" s="2" t="n">
        <v>31</v>
      </c>
      <c r="B32" s="2" t="inlineStr">
        <is>
          <t>Ethernet controller</t>
        </is>
      </c>
      <c r="C32" s="2" t="inlineStr">
        <is>
          <t>U7</t>
        </is>
      </c>
      <c r="D32" s="2" t="n">
        <v>1</v>
      </c>
      <c r="E32" s="2" t="inlineStr">
        <is>
          <t>WIZnet W5500 (LQFP-48)</t>
        </is>
      </c>
      <c r="F32" s="3" t="inlineStr">
        <is>
          <t>Sharvi Electronics</t>
        </is>
      </c>
      <c r="G32" s="2" t="n">
        <v>6</v>
      </c>
      <c r="H32" s="4" t="n">
        <v>197.42</v>
      </c>
      <c r="I32" s="4">
        <f>G32*H32</f>
        <v/>
      </c>
      <c r="J32" s="2" t="inlineStr">
        <is>
          <t>ex-GST (18% GST extra)</t>
        </is>
      </c>
      <c r="K32" s="2" t="inlineStr"/>
    </row>
    <row r="33">
      <c r="A33" s="2" t="n">
        <v>32</v>
      </c>
      <c r="B33" s="2" t="inlineStr">
        <is>
          <t>Digital isolator</t>
        </is>
      </c>
      <c r="C33" s="2" t="inlineStr">
        <is>
          <t>U4</t>
        </is>
      </c>
      <c r="D33" s="2" t="n">
        <v>1</v>
      </c>
      <c r="E33" s="2" t="inlineStr">
        <is>
          <t>ADUM1201ARZ</t>
        </is>
      </c>
      <c r="F33" s="3" t="inlineStr">
        <is>
          <t>Sharvi Electronics</t>
        </is>
      </c>
      <c r="G33" s="2" t="n">
        <v>6</v>
      </c>
      <c r="H33" s="4" t="n">
        <v>423.63</v>
      </c>
      <c r="I33" s="4">
        <f>G33*H33</f>
        <v/>
      </c>
      <c r="J33" s="2" t="inlineStr">
        <is>
          <t>ex-GST (18% GST extra)</t>
        </is>
      </c>
      <c r="K33" s="2" t="inlineStr">
        <is>
          <t>A-grade (1 Mbps) instead of C-grade; fine for 38400 baud</t>
        </is>
      </c>
    </row>
    <row r="34">
      <c r="A34" s="2" t="n">
        <v>33</v>
      </c>
      <c r="B34" s="2" t="inlineStr">
        <is>
          <t>Transistor NPN SOT-23</t>
        </is>
      </c>
      <c r="C34" s="2" t="inlineStr">
        <is>
          <t>Q1,Q2,Q4,Q5,Q6</t>
        </is>
      </c>
      <c r="D34" s="2" t="n">
        <v>5</v>
      </c>
      <c r="E34" s="2" t="inlineStr">
        <is>
          <t>BC848 30V 100mA</t>
        </is>
      </c>
      <c r="F34" s="3" t="inlineStr">
        <is>
          <t>Sharvi Electronics</t>
        </is>
      </c>
      <c r="G34" s="2" t="n">
        <v>28</v>
      </c>
      <c r="H34" s="4" t="n">
        <v>3.46</v>
      </c>
      <c r="I34" s="4">
        <f>G34*H34</f>
        <v/>
      </c>
      <c r="J34" s="2" t="inlineStr">
        <is>
          <t>ex-GST (18% GST extra)</t>
        </is>
      </c>
      <c r="K34" s="2" t="inlineStr"/>
    </row>
    <row r="35">
      <c r="A35" s="2" t="n">
        <v>34</v>
      </c>
      <c r="B35" s="2" t="inlineStr">
        <is>
          <t>RS485 transceiver SOIC-8</t>
        </is>
      </c>
      <c r="C35" s="2" t="inlineStr">
        <is>
          <t>U3</t>
        </is>
      </c>
      <c r="D35" s="2" t="n">
        <v>1</v>
      </c>
      <c r="E35" s="2" t="inlineStr">
        <is>
          <t>SN75176BDR</t>
        </is>
      </c>
      <c r="F35" s="3" t="inlineStr">
        <is>
          <t>Sharvi Electronics</t>
        </is>
      </c>
      <c r="G35" s="2" t="n">
        <v>6</v>
      </c>
      <c r="H35" s="4" t="n">
        <v>43.77</v>
      </c>
      <c r="I35" s="4">
        <f>G35*H35</f>
        <v/>
      </c>
      <c r="J35" s="2" t="inlineStr">
        <is>
          <t>ex-GST (18% GST extra)</t>
        </is>
      </c>
      <c r="K35" s="2" t="inlineStr">
        <is>
          <t>Substitute for SN65176BDR (same pinout, commercial temp)</t>
        </is>
      </c>
    </row>
    <row r="36">
      <c r="A36" s="2" t="n">
        <v>35</v>
      </c>
      <c r="B36" s="2" t="inlineStr">
        <is>
          <t>5V 10W AC-DC module</t>
        </is>
      </c>
      <c r="C36" s="2" t="inlineStr">
        <is>
          <t>PS1</t>
        </is>
      </c>
      <c r="D36" s="2" t="n">
        <v>1</v>
      </c>
      <c r="E36" s="2" t="inlineStr">
        <is>
          <t>HLK-10M05</t>
        </is>
      </c>
      <c r="F36" s="5" t="inlineStr">
        <is>
          <t>Robu.in</t>
        </is>
      </c>
      <c r="G36" s="2" t="n">
        <v>6</v>
      </c>
      <c r="H36" s="4" t="n">
        <v>322</v>
      </c>
      <c r="I36" s="4">
        <f>G36*H36</f>
        <v/>
      </c>
      <c r="J36" s="2" t="inlineStr">
        <is>
          <t>incl. GST</t>
        </is>
      </c>
      <c r="K36" s="2" t="inlineStr"/>
    </row>
    <row r="37">
      <c r="A37" s="2" t="n">
        <v>36</v>
      </c>
      <c r="B37" s="2" t="inlineStr">
        <is>
          <t>TVS diode bidirectional 7.5V</t>
        </is>
      </c>
      <c r="C37" s="2" t="inlineStr">
        <is>
          <t>D3,D4,D6</t>
        </is>
      </c>
      <c r="D37" s="2" t="n">
        <v>3</v>
      </c>
      <c r="E37" s="2" t="inlineStr">
        <is>
          <t>SMAJ7.5CA (Slkor)</t>
        </is>
      </c>
      <c r="F37" s="5" t="inlineStr">
        <is>
          <t>Robu.in</t>
        </is>
      </c>
      <c r="G37" s="2" t="n">
        <v>17</v>
      </c>
      <c r="H37" s="4" t="n">
        <v>2.01</v>
      </c>
      <c r="I37" s="4">
        <f>G37*H37</f>
        <v/>
      </c>
      <c r="J37" s="2" t="inlineStr">
        <is>
          <t>incl. GST</t>
        </is>
      </c>
      <c r="K37" s="2" t="inlineStr"/>
    </row>
    <row r="38">
      <c r="A38" s="2" t="n">
        <v>37</v>
      </c>
      <c r="B38" s="2" t="inlineStr">
        <is>
          <t>TVS diode 5V unidirectional</t>
        </is>
      </c>
      <c r="C38" s="2" t="inlineStr">
        <is>
          <t>D7</t>
        </is>
      </c>
      <c r="D38" s="2" t="n">
        <v>1</v>
      </c>
      <c r="E38" s="2" t="inlineStr">
        <is>
          <t>SMAJ5.0A (Littelfuse)</t>
        </is>
      </c>
      <c r="F38" s="5" t="inlineStr">
        <is>
          <t>Robu.in</t>
        </is>
      </c>
      <c r="G38" s="2" t="n">
        <v>6</v>
      </c>
      <c r="H38" s="4" t="n">
        <v>21</v>
      </c>
      <c r="I38" s="4">
        <f>G38*H38</f>
        <v/>
      </c>
      <c r="J38" s="2" t="inlineStr">
        <is>
          <t>incl. GST</t>
        </is>
      </c>
      <c r="K38" s="2" t="inlineStr"/>
    </row>
    <row r="39">
      <c r="A39" s="2" t="n">
        <v>38</v>
      </c>
      <c r="B39" s="2" t="inlineStr">
        <is>
          <t>Diode LL4148 (LL-34 MELF)</t>
        </is>
      </c>
      <c r="C39" s="2" t="inlineStr">
        <is>
          <t>D5,D9,D11,D12,D13,D15</t>
        </is>
      </c>
      <c r="D39" s="2" t="n">
        <v>6</v>
      </c>
      <c r="E39" s="2" t="inlineStr">
        <is>
          <t>LL4148-GS08 (Vishay)</t>
        </is>
      </c>
      <c r="F39" s="5" t="inlineStr">
        <is>
          <t>Robu.in</t>
        </is>
      </c>
      <c r="G39" s="2" t="n">
        <v>33</v>
      </c>
      <c r="H39" s="4" t="n">
        <v>1.33</v>
      </c>
      <c r="I39" s="4">
        <f>G39*H39</f>
        <v/>
      </c>
      <c r="J39" s="2" t="inlineStr">
        <is>
          <t>incl. GST</t>
        </is>
      </c>
      <c r="K39" s="2" t="inlineStr"/>
    </row>
    <row r="40">
      <c r="A40" s="2" t="n">
        <v>39</v>
      </c>
      <c r="B40" s="2" t="inlineStr">
        <is>
          <t>LED 0805 green (yellow-green 571nm)</t>
        </is>
      </c>
      <c r="C40" s="2" t="inlineStr">
        <is>
          <t>D1,D2,D8</t>
        </is>
      </c>
      <c r="D40" s="2" t="n">
        <v>3</v>
      </c>
      <c r="E40" s="2" t="inlineStr">
        <is>
          <t>LTST-C171KGKT (Lite-On)</t>
        </is>
      </c>
      <c r="F40" s="5" t="inlineStr">
        <is>
          <t>Robu.in</t>
        </is>
      </c>
      <c r="G40" s="2" t="n">
        <v>17</v>
      </c>
      <c r="H40" s="4" t="n">
        <v>2.27</v>
      </c>
      <c r="I40" s="4">
        <f>G40*H40</f>
        <v/>
      </c>
      <c r="J40" s="2" t="inlineStr">
        <is>
          <t>incl. GST</t>
        </is>
      </c>
      <c r="K40" s="2" t="inlineStr"/>
    </row>
    <row r="41">
      <c r="A41" s="2" t="n">
        <v>40</v>
      </c>
      <c r="B41" s="2" t="inlineStr">
        <is>
          <t>LED 0805 red</t>
        </is>
      </c>
      <c r="C41" s="2" t="inlineStr">
        <is>
          <t>D10,D14,D16</t>
        </is>
      </c>
      <c r="D41" s="2" t="n">
        <v>3</v>
      </c>
      <c r="E41" s="2" t="inlineStr">
        <is>
          <t>LTST-C171KRKT (Lite-On)</t>
        </is>
      </c>
      <c r="F41" s="5" t="inlineStr">
        <is>
          <t>Robu.in</t>
        </is>
      </c>
      <c r="G41" s="2" t="n">
        <v>17</v>
      </c>
      <c r="H41" s="4" t="n">
        <v>1.38</v>
      </c>
      <c r="I41" s="4">
        <f>G41*H41</f>
        <v/>
      </c>
      <c r="J41" s="2" t="inlineStr">
        <is>
          <t>incl. GST</t>
        </is>
      </c>
      <c r="K41" s="2" t="inlineStr"/>
    </row>
    <row r="42">
      <c r="A42" s="2" t="n">
        <v>41</v>
      </c>
      <c r="B42" s="2" t="inlineStr">
        <is>
          <t>Hex Schmitt inverter SOIC-14</t>
        </is>
      </c>
      <c r="C42" s="2" t="inlineStr">
        <is>
          <t>U2</t>
        </is>
      </c>
      <c r="D42" s="2" t="n">
        <v>1</v>
      </c>
      <c r="E42" s="2" t="inlineStr">
        <is>
          <t>SN74HC14DR</t>
        </is>
      </c>
      <c r="F42" s="5" t="inlineStr">
        <is>
          <t>Robu.in</t>
        </is>
      </c>
      <c r="G42" s="2" t="n">
        <v>6</v>
      </c>
      <c r="H42" s="4" t="n">
        <v>19</v>
      </c>
      <c r="I42" s="4">
        <f>G42*H42</f>
        <v/>
      </c>
      <c r="J42" s="2" t="inlineStr">
        <is>
          <t>incl. GST</t>
        </is>
      </c>
      <c r="K42" s="2" t="inlineStr"/>
    </row>
    <row r="43">
      <c r="A43" s="2" t="n">
        <v>42</v>
      </c>
      <c r="B43" s="2" t="inlineStr">
        <is>
          <t>EEPROM 512Kbit I2C SOIC-8</t>
        </is>
      </c>
      <c r="C43" s="2" t="inlineStr">
        <is>
          <t>U8</t>
        </is>
      </c>
      <c r="D43" s="2" t="n">
        <v>1</v>
      </c>
      <c r="E43" s="2" t="inlineStr">
        <is>
          <t>AT24C512C-SSHD-T (Microchip)</t>
        </is>
      </c>
      <c r="F43" s="5" t="inlineStr">
        <is>
          <t>Robu.in</t>
        </is>
      </c>
      <c r="G43" s="2" t="n">
        <v>6</v>
      </c>
      <c r="H43" s="4" t="n">
        <v>66</v>
      </c>
      <c r="I43" s="4">
        <f>G43*H43</f>
        <v/>
      </c>
      <c r="J43" s="2" t="inlineStr">
        <is>
          <t>incl. GST</t>
        </is>
      </c>
      <c r="K4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34" customWidth="1" min="3" max="3"/>
    <col width="14" customWidth="1" min="4" max="4"/>
    <col width="16" customWidth="1" min="5" max="5"/>
    <col width="52" customWidth="1" min="6" max="6"/>
  </cols>
  <sheetData>
    <row r="1">
      <c r="A1" s="6" t="inlineStr">
        <is>
          <t>Website</t>
        </is>
      </c>
      <c r="B1" s="6" t="inlineStr">
        <is>
          <t>Lines</t>
        </is>
      </c>
      <c r="C1" s="6" t="inlineStr">
        <is>
          <t>Subtotal (Rs)</t>
        </is>
      </c>
      <c r="D1" s="6" t="inlineStr">
        <is>
          <t>GST (Rs)</t>
        </is>
      </c>
      <c r="E1" s="6" t="inlineStr">
        <is>
          <t>Total (Rs)</t>
        </is>
      </c>
      <c r="F1" s="6" t="inlineStr">
        <is>
          <t>Note</t>
        </is>
      </c>
    </row>
    <row r="2">
      <c r="A2" t="inlineStr">
        <is>
          <t>Sharvi Electronics</t>
        </is>
      </c>
      <c r="B2">
        <f>COUNTIF('Order list'!F2:F43,A2)</f>
        <v/>
      </c>
      <c r="C2" s="7">
        <f>SUMIF('Order list'!F2:F43,A2,'Order list'!I2:I43)</f>
        <v/>
      </c>
      <c r="D2" s="7">
        <f>C2*0.18</f>
        <v/>
      </c>
      <c r="E2" s="7">
        <f>C2+D2</f>
        <v/>
      </c>
      <c r="F2" t="inlineStr">
        <is>
          <t>Prices ex-GST; shipping extra (calculated at checkout)</t>
        </is>
      </c>
    </row>
    <row r="3">
      <c r="A3" t="inlineStr">
        <is>
          <t>Robu.in</t>
        </is>
      </c>
      <c r="B3">
        <f>COUNTIF('Order list'!F2:F43,A3)</f>
        <v/>
      </c>
      <c r="C3" s="7">
        <f>SUMIF('Order list'!F2:F43,A3,'Order list'!I2:I43)</f>
        <v/>
      </c>
      <c r="D3" s="7" t="n">
        <v>0</v>
      </c>
      <c r="E3" s="7">
        <f>C3+D3</f>
        <v/>
      </c>
      <c r="F3" t="inlineStr">
        <is>
          <t>Prices already include GST; shipping extra</t>
        </is>
      </c>
    </row>
    <row r="4">
      <c r="A4" s="8" t="inlineStr">
        <is>
          <t>Total (Sharvi + Robu)</t>
        </is>
      </c>
      <c r="B4" s="8">
        <f>B2+B3</f>
        <v/>
      </c>
      <c r="C4" s="9">
        <f>C2+C3</f>
        <v/>
      </c>
      <c r="D4" s="9">
        <f>D2+D3</f>
        <v/>
      </c>
      <c r="E4" s="9">
        <f>E2+E3</f>
        <v/>
      </c>
      <c r="F4" s="8" t="inlineStr"/>
    </row>
    <row r="6">
      <c r="A6" t="inlineStr">
        <is>
          <t>JLCPCB (PCB, 5 pcs, 2-layer 95.5 x 153.52 mm)</t>
        </is>
      </c>
      <c r="B6" t="n">
        <v>1</v>
      </c>
      <c r="C6" t="inlineStr">
        <is>
          <t>USD 11.10 + shipping (about USD 9.78)</t>
        </is>
      </c>
      <c r="D6" t="inlineStr"/>
      <c r="E6" t="inlineStr"/>
      <c r="F6" t="inlineStr">
        <is>
          <t>In JLCPCB cart; payment pending; not in the Rs total</t>
        </is>
      </c>
    </row>
    <row r="7">
      <c r="A7" t="inlineStr">
        <is>
          <t>Remaining parts: being checked with Balaji Electronics (see sheet 'Not yet in any cart')</t>
        </is>
      </c>
      <c r="B7" t="inlineStr"/>
      <c r="C7" t="inlineStr"/>
      <c r="D7" t="inlineStr"/>
      <c r="E7" t="inlineStr"/>
      <c r="F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8" customWidth="1" min="3" max="3"/>
    <col width="10" customWidth="1" min="4" max="4"/>
    <col width="28" customWidth="1" min="5" max="5"/>
    <col width="16" customWidth="1" min="6" max="6"/>
    <col width="18" customWidth="1" min="7" max="7"/>
    <col width="16" customWidth="1" min="8" max="8"/>
    <col width="44" customWidth="1" min="9" max="9"/>
  </cols>
  <sheetData>
    <row r="1">
      <c r="A1" s="10" t="inlineStr">
        <is>
          <t>Sr</t>
        </is>
      </c>
      <c r="B1" s="10" t="inlineStr">
        <is>
          <t>Component</t>
        </is>
      </c>
      <c r="C1" s="10" t="inlineStr">
        <is>
          <t>Designators</t>
        </is>
      </c>
      <c r="D1" s="10" t="inlineStr">
        <is>
          <t>Pieces per board</t>
        </is>
      </c>
      <c r="E1" s="10" t="inlineStr">
        <is>
          <t>Part number needed</t>
        </is>
      </c>
      <c r="F1" s="10" t="inlineStr">
        <is>
          <t>Quantity needed (5 boards + spare)</t>
        </is>
      </c>
      <c r="G1" s="10" t="inlineStr">
        <is>
          <t>Reference price per piece (Rs, LCSC)</t>
        </is>
      </c>
      <c r="H1" s="10" t="inlineStr">
        <is>
          <t>Reference total (Rs)</t>
        </is>
      </c>
      <c r="I1" s="10" t="inlineStr">
        <is>
          <t>Status / note</t>
        </is>
      </c>
    </row>
    <row r="2">
      <c r="A2" t="n">
        <v>1</v>
      </c>
      <c r="B2" t="inlineStr">
        <is>
          <t>ESP32 module</t>
        </is>
      </c>
      <c r="C2" t="inlineStr">
        <is>
          <t>U1</t>
        </is>
      </c>
      <c r="D2" t="n">
        <v>1</v>
      </c>
      <c r="E2" t="inlineStr">
        <is>
          <t>ESP32-WROOM-32</t>
        </is>
      </c>
      <c r="F2" t="n">
        <v>6</v>
      </c>
      <c r="G2" s="7" t="n">
        <v>356.19</v>
      </c>
      <c r="H2" s="7">
        <f>IF(G2="","",F2*G2)</f>
        <v/>
      </c>
      <c r="I2" t="inlineStr">
        <is>
          <t>LCSC C701341 (reference price)</t>
        </is>
      </c>
    </row>
    <row r="3">
      <c r="A3" t="n">
        <v>2</v>
      </c>
      <c r="B3" t="inlineStr">
        <is>
          <t>DC-DC isolated 5V 1W</t>
        </is>
      </c>
      <c r="C3" t="inlineStr">
        <is>
          <t>PS2</t>
        </is>
      </c>
      <c r="D3" t="n">
        <v>1</v>
      </c>
      <c r="E3" t="inlineStr">
        <is>
          <t>RFM-0505S</t>
        </is>
      </c>
      <c r="F3" t="n">
        <v>6</v>
      </c>
      <c r="G3" s="7" t="n">
        <v>154.77</v>
      </c>
      <c r="H3" s="7">
        <f>IF(G3="","",F3*G3)</f>
        <v/>
      </c>
      <c r="I3" t="inlineStr">
        <is>
          <t>LCSC C49231035 (reference price)</t>
        </is>
      </c>
    </row>
    <row r="4">
      <c r="A4" t="n">
        <v>3</v>
      </c>
      <c r="B4" t="inlineStr">
        <is>
          <t>PTC resettable fuse 1812</t>
        </is>
      </c>
      <c r="C4" t="inlineStr">
        <is>
          <t>F1,F2</t>
        </is>
      </c>
      <c r="D4" t="n">
        <v>2</v>
      </c>
      <c r="E4" t="inlineStr">
        <is>
          <t>MF-MSMF010-2</t>
        </is>
      </c>
      <c r="F4" t="n">
        <v>11</v>
      </c>
      <c r="G4" s="7" t="n">
        <v>6.38</v>
      </c>
      <c r="H4" s="7">
        <f>IF(G4="","",F4*G4)</f>
        <v/>
      </c>
      <c r="I4" t="inlineStr">
        <is>
          <t>Robu: out of stock. LCSC C12430 (reference)</t>
        </is>
      </c>
    </row>
    <row r="5">
      <c r="A5" t="n">
        <v>4</v>
      </c>
      <c r="B5" t="inlineStr">
        <is>
          <t>Fuse T1A 250V</t>
        </is>
      </c>
      <c r="C5" t="inlineStr">
        <is>
          <t>F3</t>
        </is>
      </c>
      <c r="D5" t="n">
        <v>1</v>
      </c>
      <c r="E5" t="inlineStr">
        <is>
          <t>TR5 (Littelfuse 372)</t>
        </is>
      </c>
      <c r="F5" t="n">
        <v>6</v>
      </c>
      <c r="G5" s="7" t="n"/>
      <c r="H5" s="7">
        <f>IF(G5="","",F5*G5)</f>
        <v/>
      </c>
      <c r="I5" t="inlineStr">
        <is>
          <t>Not found yet</t>
        </is>
      </c>
    </row>
    <row r="6">
      <c r="A6" t="n">
        <v>5</v>
      </c>
      <c r="B6" t="inlineStr">
        <is>
          <t>NTC inrush 5R</t>
        </is>
      </c>
      <c r="C6" t="inlineStr">
        <is>
          <t>RT1</t>
        </is>
      </c>
      <c r="D6" t="n">
        <v>1</v>
      </c>
      <c r="E6" t="inlineStr">
        <is>
          <t>B57236S0509M000</t>
        </is>
      </c>
      <c r="F6" t="n">
        <v>6</v>
      </c>
      <c r="G6" s="7" t="n">
        <v>13.9</v>
      </c>
      <c r="H6" s="7">
        <f>IF(G6="","",F6*G6)</f>
        <v/>
      </c>
      <c r="I6" t="inlineStr">
        <is>
          <t>LCSC C3761585 (reference)</t>
        </is>
      </c>
    </row>
    <row r="7">
      <c r="A7" t="n">
        <v>6</v>
      </c>
      <c r="B7" t="inlineStr">
        <is>
          <t>Crystal 25MHz 18pF</t>
        </is>
      </c>
      <c r="C7" t="inlineStr">
        <is>
          <t>Y1</t>
        </is>
      </c>
      <c r="D7" t="n">
        <v>1</v>
      </c>
      <c r="E7" t="inlineStr">
        <is>
          <t>ECS-250-18-5PX-TR</t>
        </is>
      </c>
      <c r="F7" t="n">
        <v>6</v>
      </c>
      <c r="G7" s="7" t="n"/>
      <c r="H7" s="7">
        <f>IF(G7="","",F7*G7)</f>
        <v/>
      </c>
      <c r="I7" t="inlineStr">
        <is>
          <t>Not found yet</t>
        </is>
      </c>
    </row>
    <row r="8">
      <c r="A8" t="n">
        <v>7</v>
      </c>
      <c r="B8" t="inlineStr">
        <is>
          <t>Ferrite bead 1k@100MHz 0805</t>
        </is>
      </c>
      <c r="C8" t="inlineStr">
        <is>
          <t>FB1</t>
        </is>
      </c>
      <c r="D8" t="n">
        <v>1</v>
      </c>
      <c r="E8" t="inlineStr">
        <is>
          <t>MPZ2012S102AT000</t>
        </is>
      </c>
      <c r="F8" t="n">
        <v>6</v>
      </c>
      <c r="G8" s="7" t="n">
        <v>3.32</v>
      </c>
      <c r="H8" s="7">
        <f>IF(G8="","",F8*G8)</f>
        <v/>
      </c>
      <c r="I8" t="inlineStr">
        <is>
          <t>LCSC C76817 (reference)</t>
        </is>
      </c>
    </row>
    <row r="9">
      <c r="A9" t="n">
        <v>8</v>
      </c>
      <c r="B9" t="inlineStr">
        <is>
          <t>X2 capacitor 0.1uF 275VAC</t>
        </is>
      </c>
      <c r="C9" t="inlineStr">
        <is>
          <t>C16</t>
        </is>
      </c>
      <c r="D9" t="n">
        <v>1</v>
      </c>
      <c r="E9" t="inlineStr">
        <is>
          <t>ECQ-UAAF104M</t>
        </is>
      </c>
      <c r="F9" t="n">
        <v>6</v>
      </c>
      <c r="G9" s="7" t="n"/>
      <c r="H9" s="7">
        <f>IF(G9="","",F9*G9)</f>
        <v/>
      </c>
      <c r="I9" t="inlineStr">
        <is>
          <t>Not found yet</t>
        </is>
      </c>
    </row>
    <row r="10">
      <c r="A10" t="n">
        <v>9</v>
      </c>
      <c r="B10" t="inlineStr">
        <is>
          <t>Electrolytic 10uF 25V THT</t>
        </is>
      </c>
      <c r="C10" t="inlineStr">
        <is>
          <t>C1</t>
        </is>
      </c>
      <c r="D10" t="n">
        <v>1</v>
      </c>
      <c r="E10" t="inlineStr">
        <is>
          <t>ECEA1EN100UI</t>
        </is>
      </c>
      <c r="F10" t="n">
        <v>6</v>
      </c>
      <c r="G10" s="7" t="n"/>
      <c r="H10" s="7">
        <f>IF(G10="","",F10*G10)</f>
        <v/>
      </c>
      <c r="I10" t="inlineStr">
        <is>
          <t>LCSC out of stock</t>
        </is>
      </c>
    </row>
    <row r="11">
      <c r="A11" t="n">
        <v>10</v>
      </c>
      <c r="B11" t="inlineStr">
        <is>
          <t>Electrolytic 100uF 16V THT 5x11</t>
        </is>
      </c>
      <c r="C11" t="inlineStr">
        <is>
          <t>C3</t>
        </is>
      </c>
      <c r="D11" t="n">
        <v>1</v>
      </c>
      <c r="E11" t="inlineStr">
        <is>
          <t>ECA-1CM101 / ECA-1CM101I</t>
        </is>
      </c>
      <c r="F11" t="n">
        <v>6</v>
      </c>
      <c r="G11" s="7" t="n"/>
      <c r="H11" s="7">
        <f>IF(G11="","",F11*G11)</f>
        <v/>
      </c>
      <c r="I11" t="inlineStr">
        <is>
          <t>LCSC out of stock</t>
        </is>
      </c>
    </row>
    <row r="12">
      <c r="A12" t="n">
        <v>11</v>
      </c>
      <c r="B12" t="inlineStr">
        <is>
          <t>Tantalum 10uF 16V 3528</t>
        </is>
      </c>
      <c r="C12" t="inlineStr">
        <is>
          <t>C6</t>
        </is>
      </c>
      <c r="D12" t="n">
        <v>1</v>
      </c>
      <c r="E12" t="inlineStr">
        <is>
          <t>TAJB106K016RNJ</t>
        </is>
      </c>
      <c r="F12" t="n">
        <v>6</v>
      </c>
      <c r="G12" s="7" t="n">
        <v>18.38</v>
      </c>
      <c r="H12" s="7">
        <f>IF(G12="","",F12*G12)</f>
        <v/>
      </c>
      <c r="I12" t="inlineStr">
        <is>
          <t>LCSC C7193 (reference)</t>
        </is>
      </c>
    </row>
    <row r="13">
      <c r="A13" t="n">
        <v>12</v>
      </c>
      <c r="B13" t="inlineStr">
        <is>
          <t>Capacitor 1nF 2kV 1206</t>
        </is>
      </c>
      <c r="C13" t="inlineStr">
        <is>
          <t>C34</t>
        </is>
      </c>
      <c r="D13" t="n">
        <v>1</v>
      </c>
      <c r="E13" t="inlineStr">
        <is>
          <t>C1206C102KGRACAUTO</t>
        </is>
      </c>
      <c r="F13" t="n">
        <v>6</v>
      </c>
      <c r="G13" s="7" t="n">
        <v>24.52</v>
      </c>
      <c r="H13" s="7">
        <f>IF(G13="","",F13*G13)</f>
        <v/>
      </c>
      <c r="I13" t="inlineStr">
        <is>
          <t>LCSC C600002 (reference); Sharvi price Rs 1016</t>
        </is>
      </c>
    </row>
    <row r="14">
      <c r="A14" t="n">
        <v>13</v>
      </c>
      <c r="B14" t="inlineStr">
        <is>
          <t>Capacitor 100nF 1206</t>
        </is>
      </c>
      <c r="C14" t="inlineStr">
        <is>
          <t>C8</t>
        </is>
      </c>
      <c r="D14" t="n">
        <v>1</v>
      </c>
      <c r="E14" t="inlineStr">
        <is>
          <t>C1206C104K5RACTU</t>
        </is>
      </c>
      <c r="F14" t="n">
        <v>6</v>
      </c>
      <c r="G14" s="7" t="n">
        <v>4.39</v>
      </c>
      <c r="H14" s="7">
        <f>IF(G14="","",F14*G14)</f>
        <v/>
      </c>
      <c r="I14" t="inlineStr">
        <is>
          <t>LCSC C41430990 (reference); missed earlier</t>
        </is>
      </c>
    </row>
    <row r="15">
      <c r="A15" t="n">
        <v>14</v>
      </c>
      <c r="B15" t="inlineStr">
        <is>
          <t>Resistor 12.4k 0805 1%</t>
        </is>
      </c>
      <c r="C15" t="inlineStr">
        <is>
          <t>R23</t>
        </is>
      </c>
      <c r="D15" t="n">
        <v>1</v>
      </c>
      <c r="E15" t="inlineStr">
        <is>
          <t>ERJ-6ENF1242V</t>
        </is>
      </c>
      <c r="F15" t="n">
        <v>6</v>
      </c>
      <c r="G15" s="7" t="n"/>
      <c r="H15" s="7">
        <f>IF(G15="","",F15*G15)</f>
        <v/>
      </c>
      <c r="I15" t="inlineStr">
        <is>
          <t>Not found yet</t>
        </is>
      </c>
    </row>
    <row r="16">
      <c r="A16" t="n">
        <v>15</v>
      </c>
      <c r="B16" t="inlineStr">
        <is>
          <t>Terminal 2-pin 5.08mm (mains in)</t>
        </is>
      </c>
      <c r="C16" t="inlineStr">
        <is>
          <t>J1</t>
        </is>
      </c>
      <c r="D16" t="n">
        <v>1</v>
      </c>
      <c r="E16" t="inlineStr">
        <is>
          <t>TB007-508-02BE</t>
        </is>
      </c>
      <c r="F16" t="n">
        <v>6</v>
      </c>
      <c r="G16" s="7" t="n">
        <v>48.85</v>
      </c>
      <c r="H16" s="7">
        <f>IF(G16="","",F16*G16)</f>
        <v/>
      </c>
      <c r="I16" t="inlineStr">
        <is>
          <t>LCSC C3816270 (reference)</t>
        </is>
      </c>
    </row>
    <row r="17">
      <c r="A17" t="n">
        <v>16</v>
      </c>
      <c r="B17" t="inlineStr">
        <is>
          <t>Terminal 3-pin 3.81mm (RS485)</t>
        </is>
      </c>
      <c r="C17" t="inlineStr">
        <is>
          <t>J4</t>
        </is>
      </c>
      <c r="D17" t="n">
        <v>1</v>
      </c>
      <c r="E17" t="inlineStr">
        <is>
          <t>284513-3</t>
        </is>
      </c>
      <c r="F17" t="n">
        <v>6</v>
      </c>
      <c r="G17" s="7" t="n"/>
      <c r="H17" s="7">
        <f>IF(G17="","",F17*G17)</f>
        <v/>
      </c>
      <c r="I17" t="inlineStr">
        <is>
          <t>Not found yet</t>
        </is>
      </c>
    </row>
    <row r="18">
      <c r="A18" t="n">
        <v>17</v>
      </c>
      <c r="B18" t="inlineStr">
        <is>
          <t>Pluggable terminal 2-pin 3.81 (5V DC in)</t>
        </is>
      </c>
      <c r="C18" t="inlineStr">
        <is>
          <t>J5</t>
        </is>
      </c>
      <c r="D18" t="n">
        <v>1</v>
      </c>
      <c r="E18" t="inlineStr">
        <is>
          <t>TBP02R1-381-02BE + plug</t>
        </is>
      </c>
      <c r="F18" t="n">
        <v>6</v>
      </c>
      <c r="G18" s="7" t="n"/>
      <c r="H18" s="7">
        <f>IF(G18="","",F18*G18)</f>
        <v/>
      </c>
      <c r="I18" t="inlineStr">
        <is>
          <t>Not found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2026-10-23T05:13:28Z</dcterms:created>
  <dcterms:modified xmlns:dcterms="http://purl.org/dc/terms/" xmlns:xsi="http://www.w3.org/2001/XMLSchema-instance" xsi:type="dcterms:W3CDTF">2026-10-23T05:13:28Z</dcterms:modified>
</cp:coreProperties>
</file>
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 yet in any cart" sheetId="3" state="visible" r:id="rId3"/>
    <sheet xmlns:r="http://schemas.openxmlformats.org/officeDocument/2006/relationships" name="Not fitted (DN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 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10" customWidth="1" min="4" max="4"/>
    <col width="30" customWidth="1" min="5" max="5"/>
    <col width="20" customWidth="1" min="6" max="6"/>
    <col width="11" customWidth="1" min="7" max="7"/>
    <col width="14" customWidth="1" min="8" max="8"/>
    <col width="18" customWidth="1" min="9" max="9"/>
    <col width="22" customWidth="1" min="10" max="10"/>
    <col width="48" customWidth="1" min="11" max="11"/>
  </cols>
  <sheetData>
    <row r="1" ht="32" customHeight="1">
      <c r="A1" s="1" t="inlineStr">
        <is>
          <t>Sr</t>
        </is>
      </c>
      <c r="B1" s="1" t="inlineStr">
        <is>
          <t>Component</t>
        </is>
      </c>
      <c r="C1" s="1" t="inlineStr">
        <is>
          <t>Designators</t>
        </is>
      </c>
      <c r="D1" s="1" t="inlineStr">
        <is>
          <t>Pieces per board</t>
        </is>
      </c>
      <c r="E1" s="1" t="inlineStr">
        <is>
          <t>Part number (as bought)</t>
        </is>
      </c>
      <c r="F1" s="1" t="inlineStr">
        <is>
          <t>Website</t>
        </is>
      </c>
      <c r="G1" s="1" t="inlineStr">
        <is>
          <t>Quantity (in cart)</t>
        </is>
      </c>
      <c r="H1" s="1" t="inlineStr">
        <is>
          <t>Price per piece (Rs)</t>
        </is>
      </c>
      <c r="I1" s="1" t="inlineStr">
        <is>
          <t>Overall price (Rs) = qty x price</t>
        </is>
      </c>
      <c r="J1" s="1" t="inlineStr">
        <is>
          <t>Price basis</t>
        </is>
      </c>
      <c r="K1" s="1" t="inlineStr">
        <is>
          <t>Note</t>
        </is>
      </c>
    </row>
    <row r="2">
      <c r="A2" s="2" t="n">
        <v>1</v>
      </c>
      <c r="B2" s="2" t="inlineStr">
        <is>
          <t>Resistor 10k 0805 1%</t>
        </is>
      </c>
      <c r="C2" s="2" t="inlineStr">
        <is>
          <t>R1,R2,R3</t>
        </is>
      </c>
      <c r="D2" s="2" t="n">
        <v>3</v>
      </c>
      <c r="E2" s="2" t="inlineStr">
        <is>
          <t>RC0805FR-0710KL</t>
        </is>
      </c>
      <c r="F2" s="3" t="inlineStr">
        <is>
          <t>Sharvi Electronics</t>
        </is>
      </c>
      <c r="G2" s="2" t="n">
        <v>20</v>
      </c>
      <c r="H2" s="4" t="n">
        <v>0.82</v>
      </c>
      <c r="I2" s="4">
        <f>G2*H2</f>
        <v/>
      </c>
      <c r="J2" s="2" t="inlineStr">
        <is>
          <t>ex-GST (18% GST extra)</t>
        </is>
      </c>
      <c r="K2" s="2" t="inlineStr">
        <is>
          <t>ESP32 EN pull-up + auto-reset bases; min order 20</t>
        </is>
      </c>
    </row>
    <row r="3">
      <c r="A3" s="2" t="n">
        <v>2</v>
      </c>
      <c r="B3" s="2" t="inlineStr">
        <is>
          <t>Resistor 150R 0805 1%</t>
        </is>
      </c>
      <c r="C3" s="2" t="inlineStr">
        <is>
          <t>R12</t>
        </is>
      </c>
      <c r="D3" s="2" t="n">
        <v>1</v>
      </c>
      <c r="E3" s="2" t="inlineStr">
        <is>
          <t>RC0805FR-07150RL</t>
        </is>
      </c>
      <c r="F3" s="3" t="inlineStr">
        <is>
          <t>Sharvi Electronics</t>
        </is>
      </c>
      <c r="G3" s="2" t="n">
        <v>20</v>
      </c>
      <c r="H3" s="4" t="n">
        <v>0.82</v>
      </c>
      <c r="I3" s="4">
        <f>G3*H3</f>
        <v/>
      </c>
      <c r="J3" s="2" t="inlineStr">
        <is>
          <t>ex-GST (18% GST extra)</t>
        </is>
      </c>
      <c r="K3" s="2" t="inlineStr">
        <is>
          <t>PWR LED resistor; min order 20</t>
        </is>
      </c>
    </row>
    <row r="4">
      <c r="A4" s="2" t="n">
        <v>3</v>
      </c>
      <c r="B4" s="2" t="inlineStr">
        <is>
          <t>Capacitor 100nF 100V 0805</t>
        </is>
      </c>
      <c r="C4" s="2" t="inlineStr">
        <is>
          <t>C4,C5</t>
        </is>
      </c>
      <c r="D4" s="2" t="n">
        <v>2</v>
      </c>
      <c r="E4" s="2" t="inlineStr">
        <is>
          <t>CC0805KKX7R0BB104</t>
        </is>
      </c>
      <c r="F4" s="3" t="inlineStr">
        <is>
          <t>Sharvi Electronics</t>
        </is>
      </c>
      <c r="G4" s="2" t="n">
        <v>11</v>
      </c>
      <c r="H4" s="4" t="n">
        <v>4.76</v>
      </c>
      <c r="I4" s="4">
        <f>G4*H4</f>
        <v/>
      </c>
      <c r="J4" s="2" t="inlineStr">
        <is>
          <t>ex-GST (18% GST extra)</t>
        </is>
      </c>
      <c r="K4" s="2" t="inlineStr">
        <is>
          <t>LM1117 in/out decoupling</t>
        </is>
      </c>
    </row>
    <row r="5">
      <c r="A5" s="2" t="n">
        <v>4</v>
      </c>
      <c r="B5" s="2" t="inlineStr">
        <is>
          <t>Capacitor 10uF 16V 1206</t>
        </is>
      </c>
      <c r="C5" s="2" t="inlineStr">
        <is>
          <t>C7</t>
        </is>
      </c>
      <c r="D5" s="2" t="n">
        <v>1</v>
      </c>
      <c r="E5" s="2" t="inlineStr">
        <is>
          <t>1206X106K160CT</t>
        </is>
      </c>
      <c r="F5" s="3" t="inlineStr">
        <is>
          <t>Sharvi Electronics</t>
        </is>
      </c>
      <c r="G5" s="2" t="n">
        <v>10</v>
      </c>
      <c r="H5" s="4" t="n">
        <v>3.95</v>
      </c>
      <c r="I5" s="4">
        <f>G5*H5</f>
        <v/>
      </c>
      <c r="J5" s="2" t="inlineStr">
        <is>
          <t>ex-GST (18% GST extra)</t>
        </is>
      </c>
      <c r="K5" s="2" t="inlineStr">
        <is>
          <t>3V3 bulk; min order 10</t>
        </is>
      </c>
    </row>
    <row r="6">
      <c r="A6" s="2" t="n">
        <v>5</v>
      </c>
      <c r="B6" s="2" t="inlineStr">
        <is>
          <t>Capacitor 1uF 16V 1206</t>
        </is>
      </c>
      <c r="C6" s="2" t="inlineStr">
        <is>
          <t>C9</t>
        </is>
      </c>
      <c r="D6" s="2" t="n">
        <v>1</v>
      </c>
      <c r="E6" s="2" t="inlineStr">
        <is>
          <t>CC1206KKX7R7BB105</t>
        </is>
      </c>
      <c r="F6" s="3" t="inlineStr">
        <is>
          <t>Sharvi Electronics</t>
        </is>
      </c>
      <c r="G6" s="2" t="n">
        <v>10</v>
      </c>
      <c r="H6" s="4" t="n">
        <v>2.92</v>
      </c>
      <c r="I6" s="4">
        <f>G6*H6</f>
        <v/>
      </c>
      <c r="J6" s="2" t="inlineStr">
        <is>
          <t>ex-GST (18% GST extra)</t>
        </is>
      </c>
      <c r="K6" s="2" t="inlineStr">
        <is>
          <t>EN delay cap; min order 10</t>
        </is>
      </c>
    </row>
    <row r="7">
      <c r="A7" s="2" t="n">
        <v>6</v>
      </c>
      <c r="B7" s="2" t="inlineStr">
        <is>
          <t>Female header 2x8 2.54mm</t>
        </is>
      </c>
      <c r="C7" s="2" t="inlineStr">
        <is>
          <t>J3</t>
        </is>
      </c>
      <c r="D7" s="2" t="n">
        <v>1</v>
      </c>
      <c r="E7" s="2" t="inlineStr">
        <is>
          <t>2X8 16Pin Female Berg Strip</t>
        </is>
      </c>
      <c r="F7" s="3" t="inlineStr">
        <is>
          <t>Sharvi Electronics</t>
        </is>
      </c>
      <c r="G7" s="2" t="n">
        <v>6</v>
      </c>
      <c r="H7" s="4" t="n">
        <v>11.92</v>
      </c>
      <c r="I7" s="4">
        <f>G7*H7</f>
        <v/>
      </c>
      <c r="J7" s="2" t="inlineStr">
        <is>
          <t>ex-GST (18% GST extra)</t>
        </is>
      </c>
      <c r="K7" s="2" t="inlineStr">
        <is>
          <t>P10 panel connector</t>
        </is>
      </c>
    </row>
    <row r="8">
      <c r="A8" s="2" t="n">
        <v>7</v>
      </c>
      <c r="B8" s="2" t="inlineStr">
        <is>
          <t>Right-angle male header 7x1 2.54mm (use 6 pins)</t>
        </is>
      </c>
      <c r="C8" s="2" t="inlineStr">
        <is>
          <t>J2</t>
        </is>
      </c>
      <c r="D8" s="2" t="n">
        <v>1</v>
      </c>
      <c r="E8" s="2" t="inlineStr">
        <is>
          <t>7x1 7Pin Male Right Angle</t>
        </is>
      </c>
      <c r="F8" s="3" t="inlineStr">
        <is>
          <t>Sharvi Electronics</t>
        </is>
      </c>
      <c r="G8" s="2" t="n">
        <v>6</v>
      </c>
      <c r="H8" s="4" t="n">
        <v>5.18</v>
      </c>
      <c r="I8" s="4">
        <f>G8*H8</f>
        <v/>
      </c>
      <c r="J8" s="2" t="inlineStr">
        <is>
          <t>ex-GST (18% GST extra)</t>
        </is>
      </c>
      <c r="K8" s="2" t="inlineStr">
        <is>
          <t>FTDI programming header</t>
        </is>
      </c>
    </row>
    <row r="9">
      <c r="A9" s="2" t="n">
        <v>8</v>
      </c>
      <c r="B9" s="2" t="inlineStr">
        <is>
          <t>MOSFET P-ch SI2301</t>
        </is>
      </c>
      <c r="C9" s="2" t="inlineStr">
        <is>
          <t>Q3</t>
        </is>
      </c>
      <c r="D9" s="2" t="n">
        <v>1</v>
      </c>
      <c r="E9" s="2" t="inlineStr">
        <is>
          <t>SI2301CDS-T1-GE3</t>
        </is>
      </c>
      <c r="F9" s="3" t="inlineStr">
        <is>
          <t>Sharvi Electronics</t>
        </is>
      </c>
      <c r="G9" s="2" t="n">
        <v>6</v>
      </c>
      <c r="H9" s="4" t="n">
        <v>24.69</v>
      </c>
      <c r="I9" s="4">
        <f>G9*H9</f>
        <v/>
      </c>
      <c r="J9" s="2" t="inlineStr">
        <is>
          <t>ex-GST (18% GST extra)</t>
        </is>
      </c>
      <c r="K9" s="2" t="inlineStr">
        <is>
          <t>5V DC input reverse-polarity protection</t>
        </is>
      </c>
    </row>
    <row r="10">
      <c r="A10" s="2" t="n">
        <v>9</v>
      </c>
      <c r="B10" s="2" t="inlineStr">
        <is>
          <t>LDO 3.3V SOT-223</t>
        </is>
      </c>
      <c r="C10" s="2" t="inlineStr">
        <is>
          <t>VR1</t>
        </is>
      </c>
      <c r="D10" s="2" t="n">
        <v>1</v>
      </c>
      <c r="E10" s="2" t="inlineStr">
        <is>
          <t>LM1117GS 3.3V</t>
        </is>
      </c>
      <c r="F10" s="3" t="inlineStr">
        <is>
          <t>Sharvi Electronics</t>
        </is>
      </c>
      <c r="G10" s="2" t="n">
        <v>6</v>
      </c>
      <c r="H10" s="4" t="n">
        <v>13.75</v>
      </c>
      <c r="I10" s="4">
        <f>G10*H10</f>
        <v/>
      </c>
      <c r="J10" s="2" t="inlineStr">
        <is>
          <t>ex-GST (18% GST extra)</t>
        </is>
      </c>
      <c r="K10" s="2" t="inlineStr">
        <is>
          <t>Generic LM1117-3.3 instead of TI LM1117IMPX-3.3</t>
        </is>
      </c>
    </row>
    <row r="11">
      <c r="A11" s="2" t="n">
        <v>10</v>
      </c>
      <c r="B11" s="2" t="inlineStr">
        <is>
          <t>Transistor NPN SOT-23</t>
        </is>
      </c>
      <c r="C11" s="2" t="inlineStr">
        <is>
          <t>Q1,Q2</t>
        </is>
      </c>
      <c r="D11" s="2" t="n">
        <v>2</v>
      </c>
      <c r="E11" s="2" t="inlineStr">
        <is>
          <t>BC848 30V 100mA</t>
        </is>
      </c>
      <c r="F11" s="3" t="inlineStr">
        <is>
          <t>Sharvi Electronics</t>
        </is>
      </c>
      <c r="G11" s="2" t="n">
        <v>11</v>
      </c>
      <c r="H11" s="4" t="n">
        <v>3.46</v>
      </c>
      <c r="I11" s="4">
        <f>G11*H11</f>
        <v/>
      </c>
      <c r="J11" s="2" t="inlineStr">
        <is>
          <t>ex-GST (18% GST extra)</t>
        </is>
      </c>
      <c r="K11" s="2" t="inlineStr">
        <is>
          <t>Auto-reset / auto-boot (DTR, RTS)</t>
        </is>
      </c>
    </row>
    <row r="12">
      <c r="A12" s="2" t="n">
        <v>11</v>
      </c>
      <c r="B12" s="2" t="inlineStr">
        <is>
          <t>TVS diode 5V unidirectional</t>
        </is>
      </c>
      <c r="C12" s="2" t="inlineStr">
        <is>
          <t>D7</t>
        </is>
      </c>
      <c r="D12" s="2" t="n">
        <v>1</v>
      </c>
      <c r="E12" s="2" t="inlineStr">
        <is>
          <t>SMAJ5.0A (Littelfuse)</t>
        </is>
      </c>
      <c r="F12" s="5" t="inlineStr">
        <is>
          <t>Robu.in</t>
        </is>
      </c>
      <c r="G12" s="2" t="n">
        <v>6</v>
      </c>
      <c r="H12" s="4" t="n">
        <v>21</v>
      </c>
      <c r="I12" s="4">
        <f>G12*H12</f>
        <v/>
      </c>
      <c r="J12" s="2" t="inlineStr">
        <is>
          <t>incl. GST</t>
        </is>
      </c>
      <c r="K12" s="2" t="inlineStr">
        <is>
          <t>5V rail protection</t>
        </is>
      </c>
    </row>
    <row r="13">
      <c r="A13" s="2" t="n">
        <v>12</v>
      </c>
      <c r="B13" s="2" t="inlineStr">
        <is>
          <t>LED 0805 green (yellow-green 571nm)</t>
        </is>
      </c>
      <c r="C13" s="2" t="inlineStr">
        <is>
          <t>D8</t>
        </is>
      </c>
      <c r="D13" s="2" t="n">
        <v>1</v>
      </c>
      <c r="E13" s="2" t="inlineStr">
        <is>
          <t>LTST-C171KGKT (Lite-On)</t>
        </is>
      </c>
      <c r="F13" s="5" t="inlineStr">
        <is>
          <t>Robu.in</t>
        </is>
      </c>
      <c r="G13" s="2" t="n">
        <v>6</v>
      </c>
      <c r="H13" s="4" t="n">
        <v>2.46</v>
      </c>
      <c r="I13" s="4">
        <f>G13*H13</f>
        <v/>
      </c>
      <c r="J13" s="2" t="inlineStr">
        <is>
          <t>incl. GST</t>
        </is>
      </c>
      <c r="K13" s="2" t="inlineStr">
        <is>
          <t>PWR 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16" customWidth="1" min="3" max="3"/>
    <col width="14" customWidth="1" min="4" max="4"/>
    <col width="16" customWidth="1" min="5" max="5"/>
    <col width="40" customWidth="1" min="6" max="6"/>
  </cols>
  <sheetData>
    <row r="1">
      <c r="A1" s="6" t="inlineStr">
        <is>
          <t>Website</t>
        </is>
      </c>
      <c r="B1" s="6" t="inlineStr">
        <is>
          <t>Lines</t>
        </is>
      </c>
      <c r="C1" s="6" t="inlineStr">
        <is>
          <t>Subtotal (Rs)</t>
        </is>
      </c>
      <c r="D1" s="6" t="inlineStr">
        <is>
          <t>GST (Rs)</t>
        </is>
      </c>
      <c r="E1" s="6" t="inlineStr">
        <is>
          <t>Total (Rs)</t>
        </is>
      </c>
      <c r="F1" s="6" t="inlineStr">
        <is>
          <t>Note</t>
        </is>
      </c>
    </row>
    <row r="2">
      <c r="A2" t="inlineStr">
        <is>
          <t>Sharvi Electronics</t>
        </is>
      </c>
      <c r="B2">
        <f>COUNTIF('Order list'!F2:F13,A2)</f>
        <v/>
      </c>
      <c r="C2" s="7">
        <f>SUMIF('Order list'!F2:F13,A2,'Order list'!I2:I13)</f>
        <v/>
      </c>
      <c r="D2" s="7">
        <f>C2*0.18</f>
        <v/>
      </c>
      <c r="E2" s="7">
        <f>C2+D2</f>
        <v/>
      </c>
      <c r="F2" t="inlineStr">
        <is>
          <t>Prices ex-GST; shipping extra</t>
        </is>
      </c>
    </row>
    <row r="3">
      <c r="A3" t="inlineStr">
        <is>
          <t>Robu.in</t>
        </is>
      </c>
      <c r="B3">
        <f>COUNTIF('Order list'!F2:F13,A3)</f>
        <v/>
      </c>
      <c r="C3" s="7">
        <f>SUMIF('Order list'!F2:F13,A3,'Order list'!I2:I13)</f>
        <v/>
      </c>
      <c r="D3" s="7" t="n">
        <v>0</v>
      </c>
      <c r="E3" s="7">
        <f>C3+D3</f>
        <v/>
      </c>
      <c r="F3" t="inlineStr">
        <is>
          <t>Prices include GST; shipping extra</t>
        </is>
      </c>
    </row>
    <row r="4">
      <c r="A4" s="8" t="inlineStr">
        <is>
          <t>Total (Sharvi + Robu)</t>
        </is>
      </c>
      <c r="B4" s="8">
        <f>B2+B3</f>
        <v/>
      </c>
      <c r="C4" s="9">
        <f>C2+C3</f>
        <v/>
      </c>
      <c r="D4" s="9">
        <f>D2+D3</f>
        <v/>
      </c>
      <c r="E4" s="9">
        <f>E2+E3</f>
        <v/>
      </c>
      <c r="F4" s="8" t="inlineStr"/>
    </row>
    <row r="6">
      <c r="A6" t="inlineStr">
        <is>
          <t>JLCPCB: the same full PCB (5 pcs, 95.5 x 153.52 mm), USD 11.10 + shipping</t>
        </is>
      </c>
      <c r="B6" t="inlineStr"/>
      <c r="C6" t="inlineStr"/>
      <c r="D6" t="inlineStr"/>
      <c r="E6" t="inlineStr"/>
      <c r="F6" t="inlineStr">
        <is>
          <t>In JLCPCB cart; payment pending</t>
        </is>
      </c>
    </row>
    <row r="7">
      <c r="A7" t="inlineStr">
        <is>
          <t>This list is only for a P10-display-only build: ESP32 + P10 connector + 5V/3V3 power + programming/auto-reset + PWR LED.</t>
        </is>
      </c>
      <c r="B7" t="inlineStr"/>
      <c r="C7" t="inlineStr"/>
      <c r="D7" t="inlineStr"/>
      <c r="E7" t="inlineStr"/>
      <c r="F7" t="inlineStr"/>
    </row>
    <row r="8">
      <c r="A8" t="inlineStr">
        <is>
          <t>On the full PCB leave the RS485, Ethernet, relay, input and EEPROM parts unfitted (see sheet 'Not fitted (DNP)').</t>
        </is>
      </c>
      <c r="B8" t="inlineStr"/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0" customWidth="1" min="4" max="4"/>
    <col width="28" customWidth="1" min="5" max="5"/>
    <col width="16" customWidth="1" min="6" max="6"/>
    <col width="18" customWidth="1" min="7" max="7"/>
    <col width="16" customWidth="1" min="8" max="8"/>
    <col width="40" customWidth="1" min="9" max="9"/>
  </cols>
  <sheetData>
    <row r="1">
      <c r="A1" s="10" t="inlineStr">
        <is>
          <t>Sr</t>
        </is>
      </c>
      <c r="B1" s="10" t="inlineStr">
        <is>
          <t>Component</t>
        </is>
      </c>
      <c r="C1" s="10" t="inlineStr">
        <is>
          <t>Designators</t>
        </is>
      </c>
      <c r="D1" s="10" t="inlineStr">
        <is>
          <t>Pieces per board</t>
        </is>
      </c>
      <c r="E1" s="10" t="inlineStr">
        <is>
          <t>Part number needed</t>
        </is>
      </c>
      <c r="F1" s="10" t="inlineStr">
        <is>
          <t>Quantity needed (5 boards + spare)</t>
        </is>
      </c>
      <c r="G1" s="10" t="inlineStr">
        <is>
          <t>Reference price per piece (Rs, LCSC)</t>
        </is>
      </c>
      <c r="H1" s="10" t="inlineStr">
        <is>
          <t>Reference total (Rs)</t>
        </is>
      </c>
      <c r="I1" s="10" t="inlineStr">
        <is>
          <t>Status / note</t>
        </is>
      </c>
    </row>
    <row r="2">
      <c r="A2" t="n">
        <v>1</v>
      </c>
      <c r="B2" t="inlineStr">
        <is>
          <t>ESP32 module</t>
        </is>
      </c>
      <c r="C2" t="inlineStr">
        <is>
          <t>U1</t>
        </is>
      </c>
      <c r="D2" t="n">
        <v>1</v>
      </c>
      <c r="E2" t="inlineStr">
        <is>
          <t>ESP32-WROOM-32</t>
        </is>
      </c>
      <c r="F2" t="n">
        <v>6</v>
      </c>
      <c r="G2" s="7" t="n">
        <v>356.19</v>
      </c>
      <c r="H2" s="7">
        <f>IF(G2="","",F2*G2)</f>
        <v/>
      </c>
      <c r="I2" t="inlineStr">
        <is>
          <t>LCSC C701341 (reference price)</t>
        </is>
      </c>
    </row>
    <row r="3">
      <c r="A3" t="n">
        <v>2</v>
      </c>
      <c r="B3" t="inlineStr">
        <is>
          <t>Electrolytic 100uF 16V THT 5x11</t>
        </is>
      </c>
      <c r="C3" t="inlineStr">
        <is>
          <t>C3</t>
        </is>
      </c>
      <c r="D3" t="n">
        <v>1</v>
      </c>
      <c r="E3" t="inlineStr">
        <is>
          <t>ECA-1CM101 / ECA-1CM101I</t>
        </is>
      </c>
      <c r="F3" t="n">
        <v>6</v>
      </c>
      <c r="G3" s="7" t="n"/>
      <c r="H3" s="7">
        <f>IF(G3="","",F3*G3)</f>
        <v/>
      </c>
      <c r="I3" t="inlineStr">
        <is>
          <t>LCSC out of stock</t>
        </is>
      </c>
    </row>
    <row r="4">
      <c r="A4" t="n">
        <v>3</v>
      </c>
      <c r="B4" t="inlineStr">
        <is>
          <t>Tantalum 10uF 16V 3528</t>
        </is>
      </c>
      <c r="C4" t="inlineStr">
        <is>
          <t>C6</t>
        </is>
      </c>
      <c r="D4" t="n">
        <v>1</v>
      </c>
      <c r="E4" t="inlineStr">
        <is>
          <t>TAJB106K016RNJ</t>
        </is>
      </c>
      <c r="F4" t="n">
        <v>6</v>
      </c>
      <c r="G4" s="7" t="n">
        <v>18.38</v>
      </c>
      <c r="H4" s="7">
        <f>IF(G4="","",F4*G4)</f>
        <v/>
      </c>
      <c r="I4" t="inlineStr">
        <is>
          <t>LCSC C7193 (reference)</t>
        </is>
      </c>
    </row>
    <row r="5">
      <c r="A5" t="n">
        <v>4</v>
      </c>
      <c r="B5" t="inlineStr">
        <is>
          <t>Capacitor 100nF 1206</t>
        </is>
      </c>
      <c r="C5" t="inlineStr">
        <is>
          <t>C8</t>
        </is>
      </c>
      <c r="D5" t="n">
        <v>1</v>
      </c>
      <c r="E5" t="inlineStr">
        <is>
          <t>C1206C104K5RACTU</t>
        </is>
      </c>
      <c r="F5" t="n">
        <v>6</v>
      </c>
      <c r="G5" s="7" t="n">
        <v>4.39</v>
      </c>
      <c r="H5" s="7">
        <f>IF(G5="","",F5*G5)</f>
        <v/>
      </c>
      <c r="I5" t="inlineStr">
        <is>
          <t>LCSC C41430990 (reference)</t>
        </is>
      </c>
    </row>
    <row r="6">
      <c r="A6" t="n">
        <v>5</v>
      </c>
      <c r="B6" t="inlineStr">
        <is>
          <t>Pluggable terminal 2-pin 3.81 (5V DC in)</t>
        </is>
      </c>
      <c r="C6" t="inlineStr">
        <is>
          <t>J5</t>
        </is>
      </c>
      <c r="D6" t="n">
        <v>1</v>
      </c>
      <c r="E6" t="inlineStr">
        <is>
          <t>TBP02R1-381-02BE + plug</t>
        </is>
      </c>
      <c r="F6" t="n">
        <v>6</v>
      </c>
      <c r="G6" s="7" t="n"/>
      <c r="H6" s="7">
        <f>IF(G6="","",F6*G6)</f>
        <v/>
      </c>
      <c r="I6" t="inlineStr">
        <is>
          <t>Not found yet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6" t="inlineStr">
        <is>
          <t>Circuit</t>
        </is>
      </c>
      <c r="B1" s="6" t="inlineStr">
        <is>
          <t>Designators left unfitted</t>
        </is>
      </c>
    </row>
    <row r="2">
      <c r="A2" t="inlineStr">
        <is>
          <t>AC mains input (not used: board runs from an external 5V SMPS via J5)</t>
        </is>
      </c>
      <c r="B2" t="inlineStr">
        <is>
          <t>PS1, RV1, RT1, F3, C16, J1</t>
        </is>
      </c>
    </row>
    <row r="3">
      <c r="A3" t="inlineStr">
        <is>
          <t>RS485 (isolated)</t>
        </is>
      </c>
      <c r="B3" t="inlineStr">
        <is>
          <t>U2, U3, U4, PS2, C1, C2, C10-C15, D1-D6, F1, F2, J4, R4-R11</t>
        </is>
      </c>
    </row>
    <row r="4">
      <c r="A4" t="inlineStr">
        <is>
          <t>Ethernet (W5500)</t>
        </is>
      </c>
      <c r="B4" t="inlineStr">
        <is>
          <t>U7, J9, Y1, FB1, C19-C35, R20-R30</t>
        </is>
      </c>
    </row>
    <row r="5">
      <c r="A5" t="inlineStr">
        <is>
          <t>Relays K1-K3</t>
        </is>
      </c>
      <c r="B5" t="inlineStr">
        <is>
          <t>K1, K2, K3, J6, J10, J11, Q4, Q5, Q6, D9, D10, D13-D16, R13-R15, R31-R36</t>
        </is>
      </c>
    </row>
    <row r="6">
      <c r="A6" t="inlineStr">
        <is>
          <t>Opto inputs</t>
        </is>
      </c>
      <c r="B6" t="inlineStr">
        <is>
          <t>U5, U6, J7, J8, JP1, JP2, D11, D12, R16-R19</t>
        </is>
      </c>
    </row>
    <row r="7">
      <c r="A7" t="inlineStr">
        <is>
          <t>EEPROM</t>
        </is>
      </c>
      <c r="B7" t="inlineStr">
        <is>
          <t>U8, R37, R38, C36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2026-10-23T11:06:44Z</dcterms:created>
  <dcterms:modified xmlns:dcterms="http://purl.org/dc/terms/" xmlns:xsi="http://www.w3.org/2001/XMLSchema-instance" xsi:type="dcterms:W3CDTF">2026-10-23T11:06:45Z</dcterms:modified>
</cp:coreProperties>
</file>